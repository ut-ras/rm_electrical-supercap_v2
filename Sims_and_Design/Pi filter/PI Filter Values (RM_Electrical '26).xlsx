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m_electrical-supercap_v2\Sims_and_Design\Pi_filter_components\"/>
    </mc:Choice>
  </mc:AlternateContent>
  <xr:revisionPtr revIDLastSave="0" documentId="8_{C816BF5E-08B2-483B-B626-90B9C1F173A9}" xr6:coauthVersionLast="47" xr6:coauthVersionMax="47" xr10:uidLastSave="{00000000-0000-0000-0000-000000000000}"/>
  <bookViews>
    <workbookView xWindow="3036" yWindow="3036" windowWidth="17280" windowHeight="9420" xr2:uid="{97A5CBE5-78E5-4C97-9F49-4F4237CD6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D4" i="1" s="1"/>
  <c r="A5" i="1"/>
  <c r="C5" i="1" s="1"/>
  <c r="K5" i="1" s="1"/>
  <c r="A6" i="1"/>
  <c r="A7" i="1"/>
  <c r="A8" i="1"/>
  <c r="D8" i="1" s="1"/>
  <c r="A9" i="1"/>
  <c r="D9" i="1" s="1"/>
  <c r="A10" i="1"/>
  <c r="A11" i="1"/>
  <c r="A12" i="1"/>
  <c r="A13" i="1"/>
  <c r="A2" i="1"/>
  <c r="F2" i="1" s="1"/>
  <c r="D3" i="1"/>
  <c r="D5" i="1"/>
  <c r="D6" i="1"/>
  <c r="D7" i="1"/>
  <c r="C7" i="1" s="1"/>
  <c r="K7" i="1" s="1"/>
  <c r="D11" i="1"/>
  <c r="D12" i="1"/>
  <c r="D13" i="1"/>
  <c r="I13" i="1" s="1"/>
  <c r="B3" i="1"/>
  <c r="B4" i="1"/>
  <c r="B5" i="1"/>
  <c r="B6" i="1"/>
  <c r="B7" i="1"/>
  <c r="B8" i="1"/>
  <c r="B9" i="1"/>
  <c r="B10" i="1"/>
  <c r="B11" i="1"/>
  <c r="B12" i="1"/>
  <c r="B13" i="1"/>
  <c r="B2" i="1"/>
  <c r="I3" i="1"/>
  <c r="F3" i="1"/>
  <c r="F5" i="1"/>
  <c r="F6" i="1"/>
  <c r="F7" i="1"/>
  <c r="F8" i="1"/>
  <c r="F9" i="1"/>
  <c r="F10" i="1"/>
  <c r="F11" i="1"/>
  <c r="F12" i="1"/>
  <c r="F13" i="1"/>
  <c r="C6" i="1"/>
  <c r="H6" i="1" s="1"/>
  <c r="C3" i="1"/>
  <c r="K3" i="1" s="1"/>
  <c r="D10" i="1" l="1"/>
  <c r="C10" i="1" s="1"/>
  <c r="C4" i="1"/>
  <c r="H4" i="1" s="1"/>
  <c r="F4" i="1"/>
  <c r="D2" i="1"/>
  <c r="C12" i="1"/>
  <c r="I12" i="1"/>
  <c r="C11" i="1"/>
  <c r="I11" i="1"/>
  <c r="C9" i="1"/>
  <c r="I9" i="1"/>
  <c r="C8" i="1"/>
  <c r="I8" i="1"/>
  <c r="H7" i="1"/>
  <c r="I7" i="1"/>
  <c r="K6" i="1"/>
  <c r="I6" i="1"/>
  <c r="H5" i="1"/>
  <c r="I5" i="1"/>
  <c r="K4" i="1"/>
  <c r="H3" i="1"/>
  <c r="C13" i="1"/>
  <c r="I10" i="1"/>
  <c r="I4" i="1"/>
  <c r="H10" i="1" l="1"/>
  <c r="K10" i="1"/>
  <c r="C2" i="1"/>
  <c r="I2" i="1"/>
  <c r="H8" i="1"/>
  <c r="K8" i="1"/>
  <c r="H13" i="1"/>
  <c r="K13" i="1"/>
  <c r="K9" i="1"/>
  <c r="H9" i="1"/>
  <c r="K11" i="1"/>
  <c r="H11" i="1"/>
  <c r="H12" i="1"/>
  <c r="K12" i="1"/>
  <c r="K2" i="1" l="1"/>
  <c r="H2" i="1"/>
</calcChain>
</file>

<file path=xl/sharedStrings.xml><?xml version="1.0" encoding="utf-8"?>
<sst xmlns="http://schemas.openxmlformats.org/spreadsheetml/2006/main" count="9" uniqueCount="9">
  <si>
    <t>L</t>
  </si>
  <si>
    <t>C</t>
  </si>
  <si>
    <t>R</t>
  </si>
  <si>
    <t>a</t>
  </si>
  <si>
    <t>L (mH)</t>
  </si>
  <si>
    <t>C (uF)</t>
  </si>
  <si>
    <t>R (kΩ)</t>
  </si>
  <si>
    <t>f (Hz)</t>
  </si>
  <si>
    <t>1/(RC)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</si>
</sst>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734A-272B-4037-BDFB-CE6B99C80540}">
  <dimension ref="A1:K13"/>
  <sheetViews>
    <sheetView tabSelected="1" workbookViewId="0">
      <selection activeCell="K2" sqref="K2"/>
    </sheetView>
  </sheetViews>
  <sheetFormatPr defaultRowHeight="14.4" x14ac:dyDescent="0.3"/>
  <cols>
    <col min="2" max="2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</row>
    <row r="2" spans="1:11" x14ac:dyDescent="0.3">
      <c r="A2">
        <f>27*10^-6</f>
        <v>2.6999999999999999E-5</v>
      </c>
      <c r="B2">
        <f>G2*10^-6</f>
        <v>1.007E-5</v>
      </c>
      <c r="C2">
        <f>A2*(24*3.1415+D2)</f>
        <v>1317.074000299315</v>
      </c>
      <c r="D2">
        <f>1/(B2*A2*24*3.141592)</f>
        <v>48780443.133604266</v>
      </c>
      <c r="F2">
        <f>A2*1000</f>
        <v>2.7E-2</v>
      </c>
      <c r="G2">
        <v>10.07</v>
      </c>
      <c r="H2">
        <f>C2/1000</f>
        <v>1.3170740002993151</v>
      </c>
      <c r="I2">
        <f>D2/(2*3.1415)</f>
        <v>7763877.627503464</v>
      </c>
      <c r="K2">
        <f>1/(C2*B2)</f>
        <v>75.398091463245962</v>
      </c>
    </row>
    <row r="3" spans="1:11" x14ac:dyDescent="0.3">
      <c r="A3">
        <f t="shared" ref="A3:A13" si="0">27*10^-6</f>
        <v>2.6999999999999999E-5</v>
      </c>
      <c r="B3">
        <f t="shared" ref="B3:B13" si="1">G3*10^-6</f>
        <v>1.0439999999999998E-5</v>
      </c>
      <c r="C3">
        <f t="shared" ref="C3:C13" si="2">A3*(24*3.1415+D3)</f>
        <v>1270.3961624731937</v>
      </c>
      <c r="D3">
        <f t="shared" ref="D3:D13" si="3">1/(B3*A3*24*3.141592)</f>
        <v>47051634.325229399</v>
      </c>
      <c r="F3">
        <f t="shared" ref="F3:F13" si="4">A3*1000</f>
        <v>2.7E-2</v>
      </c>
      <c r="G3">
        <v>10.44</v>
      </c>
      <c r="H3">
        <f t="shared" ref="H3:H13" si="5">C3/1000</f>
        <v>1.2703961624731936</v>
      </c>
      <c r="I3">
        <f t="shared" ref="I3:I13" si="6">D3/(2*3.1415)</f>
        <v>7488721.0449195281</v>
      </c>
      <c r="K3">
        <f t="shared" ref="K3:K13" si="7">1/(C3*B3)</f>
        <v>75.398087181366137</v>
      </c>
    </row>
    <row r="4" spans="1:11" x14ac:dyDescent="0.3">
      <c r="A4">
        <f t="shared" si="0"/>
        <v>2.6999999999999999E-5</v>
      </c>
      <c r="B4">
        <f t="shared" si="1"/>
        <v>1.066E-5</v>
      </c>
      <c r="C4">
        <f t="shared" si="2"/>
        <v>1244.1778971925312</v>
      </c>
      <c r="D4">
        <f t="shared" si="3"/>
        <v>46080587.46298264</v>
      </c>
      <c r="F4">
        <f t="shared" si="4"/>
        <v>2.7E-2</v>
      </c>
      <c r="G4">
        <v>10.66</v>
      </c>
      <c r="H4">
        <f t="shared" si="5"/>
        <v>1.2441778971925312</v>
      </c>
      <c r="I4">
        <f t="shared" si="6"/>
        <v>7334169.5787016768</v>
      </c>
      <c r="K4">
        <f t="shared" si="7"/>
        <v>75.398084635383753</v>
      </c>
    </row>
    <row r="5" spans="1:11" x14ac:dyDescent="0.3">
      <c r="A5">
        <f t="shared" si="0"/>
        <v>2.6999999999999999E-5</v>
      </c>
      <c r="B5">
        <f t="shared" si="1"/>
        <v>1.0880000000000001E-5</v>
      </c>
      <c r="C5">
        <f t="shared" si="2"/>
        <v>1219.0199294048364</v>
      </c>
      <c r="D5">
        <f t="shared" si="3"/>
        <v>45148810.878253207</v>
      </c>
      <c r="F5">
        <f t="shared" si="4"/>
        <v>2.7E-2</v>
      </c>
      <c r="G5">
        <v>10.88</v>
      </c>
      <c r="H5">
        <f t="shared" si="5"/>
        <v>1.2190199294048363</v>
      </c>
      <c r="I5">
        <f t="shared" si="6"/>
        <v>7185868.3556029294</v>
      </c>
      <c r="K5">
        <f t="shared" si="7"/>
        <v>75.398082089401555</v>
      </c>
    </row>
    <row r="6" spans="1:11" x14ac:dyDescent="0.3">
      <c r="A6">
        <f t="shared" si="0"/>
        <v>2.6999999999999999E-5</v>
      </c>
      <c r="B6">
        <f t="shared" si="1"/>
        <v>1.1079999999999999E-5</v>
      </c>
      <c r="C6">
        <f t="shared" si="2"/>
        <v>1197.015996305327</v>
      </c>
      <c r="D6">
        <f t="shared" si="3"/>
        <v>44333850.393086188</v>
      </c>
      <c r="F6">
        <f t="shared" si="4"/>
        <v>2.7E-2</v>
      </c>
      <c r="G6">
        <v>11.08</v>
      </c>
      <c r="H6">
        <f t="shared" si="5"/>
        <v>1.1970159963053271</v>
      </c>
      <c r="I6">
        <f t="shared" si="6"/>
        <v>7056159.5405198447</v>
      </c>
      <c r="K6">
        <f t="shared" si="7"/>
        <v>75.398079774872429</v>
      </c>
    </row>
    <row r="7" spans="1:11" x14ac:dyDescent="0.3">
      <c r="A7">
        <f t="shared" si="0"/>
        <v>2.6999999999999999E-5</v>
      </c>
      <c r="B7">
        <f t="shared" si="1"/>
        <v>1.1089999999999999E-5</v>
      </c>
      <c r="C7">
        <f t="shared" si="2"/>
        <v>1195.9366329504005</v>
      </c>
      <c r="D7">
        <f t="shared" si="3"/>
        <v>44293873.97253336</v>
      </c>
      <c r="F7">
        <f t="shared" si="4"/>
        <v>2.7E-2</v>
      </c>
      <c r="G7">
        <v>11.09</v>
      </c>
      <c r="H7">
        <f t="shared" si="5"/>
        <v>1.1959366329504004</v>
      </c>
      <c r="I7">
        <f t="shared" si="6"/>
        <v>7049796.9079314591</v>
      </c>
      <c r="K7">
        <f t="shared" si="7"/>
        <v>75.398079659145978</v>
      </c>
    </row>
    <row r="8" spans="1:11" x14ac:dyDescent="0.3">
      <c r="A8">
        <f t="shared" si="0"/>
        <v>2.6999999999999999E-5</v>
      </c>
      <c r="B8">
        <f t="shared" si="1"/>
        <v>1.1970000000000001E-5</v>
      </c>
      <c r="C8">
        <f t="shared" si="2"/>
        <v>1108.0149582981539</v>
      </c>
      <c r="D8">
        <f t="shared" si="3"/>
        <v>41037515.652079776</v>
      </c>
      <c r="F8">
        <f t="shared" si="4"/>
        <v>2.7E-2</v>
      </c>
      <c r="G8">
        <v>11.97</v>
      </c>
      <c r="H8">
        <f t="shared" si="5"/>
        <v>1.108014958298154</v>
      </c>
      <c r="I8">
        <f t="shared" si="6"/>
        <v>6531516.0993283102</v>
      </c>
      <c r="K8">
        <f t="shared" si="7"/>
        <v>75.398069475219543</v>
      </c>
    </row>
    <row r="9" spans="1:11" x14ac:dyDescent="0.3">
      <c r="A9">
        <f t="shared" si="0"/>
        <v>2.6999999999999999E-5</v>
      </c>
      <c r="B9">
        <f t="shared" si="1"/>
        <v>1.2479999999999999E-5</v>
      </c>
      <c r="C9">
        <f t="shared" si="2"/>
        <v>1062.7355840570374</v>
      </c>
      <c r="D9">
        <f t="shared" si="3"/>
        <v>39360501.791297682</v>
      </c>
      <c r="F9">
        <f t="shared" si="4"/>
        <v>2.7E-2</v>
      </c>
      <c r="G9">
        <v>12.48</v>
      </c>
      <c r="H9">
        <f t="shared" si="5"/>
        <v>1.0627355840570374</v>
      </c>
      <c r="I9">
        <f t="shared" si="6"/>
        <v>6264603.1818076838</v>
      </c>
      <c r="K9">
        <f t="shared" si="7"/>
        <v>75.398063573172522</v>
      </c>
    </row>
    <row r="10" spans="1:11" x14ac:dyDescent="0.3">
      <c r="A10">
        <f t="shared" si="0"/>
        <v>2.6999999999999999E-5</v>
      </c>
      <c r="B10">
        <f t="shared" si="1"/>
        <v>1.2639999999999999E-5</v>
      </c>
      <c r="C10">
        <f t="shared" si="2"/>
        <v>1049.2832606600111</v>
      </c>
      <c r="D10">
        <f t="shared" si="3"/>
        <v>38862267.591407821</v>
      </c>
      <c r="F10">
        <f t="shared" si="4"/>
        <v>2.7E-2</v>
      </c>
      <c r="G10">
        <v>12.64</v>
      </c>
      <c r="H10">
        <f t="shared" si="5"/>
        <v>1.0492832606600111</v>
      </c>
      <c r="I10">
        <f t="shared" si="6"/>
        <v>6185304.4073544201</v>
      </c>
      <c r="K10">
        <f t="shared" si="7"/>
        <v>75.39806172155015</v>
      </c>
    </row>
    <row r="11" spans="1:11" x14ac:dyDescent="0.3">
      <c r="A11">
        <f t="shared" si="0"/>
        <v>2.6999999999999999E-5</v>
      </c>
      <c r="B11">
        <f t="shared" si="1"/>
        <v>1.2669999999999999E-5</v>
      </c>
      <c r="C11">
        <f t="shared" si="2"/>
        <v>1046.7987747287532</v>
      </c>
      <c r="D11">
        <f t="shared" si="3"/>
        <v>38770249.593953826</v>
      </c>
      <c r="F11">
        <f t="shared" si="4"/>
        <v>2.7E-2</v>
      </c>
      <c r="G11">
        <v>12.67</v>
      </c>
      <c r="H11">
        <f t="shared" si="5"/>
        <v>1.0467987747287533</v>
      </c>
      <c r="I11">
        <f t="shared" si="6"/>
        <v>6170658.8562714979</v>
      </c>
      <c r="K11">
        <f t="shared" si="7"/>
        <v>75.398061374370954</v>
      </c>
    </row>
    <row r="12" spans="1:11" x14ac:dyDescent="0.3">
      <c r="A12">
        <f t="shared" si="0"/>
        <v>2.6999999999999999E-5</v>
      </c>
      <c r="B12">
        <f t="shared" si="1"/>
        <v>1.271E-5</v>
      </c>
      <c r="C12">
        <f t="shared" si="2"/>
        <v>1043.5043711440583</v>
      </c>
      <c r="D12">
        <f t="shared" si="3"/>
        <v>38648234.646372534</v>
      </c>
      <c r="F12">
        <f t="shared" si="4"/>
        <v>2.7E-2</v>
      </c>
      <c r="G12">
        <v>12.71</v>
      </c>
      <c r="H12">
        <f t="shared" si="5"/>
        <v>1.0435043711440584</v>
      </c>
      <c r="I12">
        <f t="shared" si="6"/>
        <v>6151239.0014917292</v>
      </c>
      <c r="K12">
        <f t="shared" si="7"/>
        <v>75.398060911465365</v>
      </c>
    </row>
    <row r="13" spans="1:11" x14ac:dyDescent="0.3">
      <c r="A13">
        <f t="shared" si="0"/>
        <v>2.6999999999999999E-5</v>
      </c>
      <c r="B13">
        <f t="shared" si="1"/>
        <v>1.288E-5</v>
      </c>
      <c r="C13">
        <f t="shared" si="2"/>
        <v>1029.7314365922844</v>
      </c>
      <c r="D13">
        <f t="shared" si="3"/>
        <v>38138125.959269792</v>
      </c>
      <c r="F13">
        <f t="shared" si="4"/>
        <v>2.7E-2</v>
      </c>
      <c r="G13">
        <v>12.88</v>
      </c>
      <c r="H13">
        <f t="shared" si="5"/>
        <v>1.0297314365922843</v>
      </c>
      <c r="I13">
        <f t="shared" si="6"/>
        <v>6070050.2879627235</v>
      </c>
      <c r="K13">
        <f t="shared" si="7"/>
        <v>75.398058944116698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514192D86049419C72FD3E2C1F39EA" ma:contentTypeVersion="8" ma:contentTypeDescription="Create a new document." ma:contentTypeScope="" ma:versionID="1b1c62d4dd0d58480b0f3532446b9eb9">
  <xsd:schema xmlns:xsd="http://www.w3.org/2001/XMLSchema" xmlns:xs="http://www.w3.org/2001/XMLSchema" xmlns:p="http://schemas.microsoft.com/office/2006/metadata/properties" xmlns:ns3="edb1d2cc-d638-4107-bb2a-ead292282bd5" targetNamespace="http://schemas.microsoft.com/office/2006/metadata/properties" ma:root="true" ma:fieldsID="54ae0eec9b96f93388cc9ee508c9dc0e" ns3:_="">
    <xsd:import namespace="edb1d2cc-d638-4107-bb2a-ead292282bd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1d2cc-d638-4107-bb2a-ead292282bd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b1d2cc-d638-4107-bb2a-ead292282b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B1B2BD-B439-4978-A877-033DE51F56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1d2cc-d638-4107-bb2a-ead292282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3BA36-27B7-4BA4-ADB4-FAF30231D7D8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edb1d2cc-d638-4107-bb2a-ead292282bd5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DAC92D3-8B89-4153-BE4C-4D4D28F4CE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Timothy D</dc:creator>
  <cp:lastModifiedBy>Yeap, Timothy D</cp:lastModifiedBy>
  <dcterms:created xsi:type="dcterms:W3CDTF">2026-04-10T23:19:51Z</dcterms:created>
  <dcterms:modified xsi:type="dcterms:W3CDTF">2026-04-11T00:45:40Z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0x010100AE514192D86049419C72FD3E2C1F39EA</vt:lpwstr>
  </property>
</Properties>
</file>